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66925"/>
  <mc:AlternateContent xmlns:mc="http://schemas.openxmlformats.org/markup-compatibility/2006">
    <mc:Choice Requires="x15">
      <x15ac:absPath xmlns:x15ac="http://schemas.microsoft.com/office/spreadsheetml/2010/11/ac" url="D:\NUSA PUTRA UNIVERSITY\TEKNIK INFORMATIKA\SEMESTER 4\MACHINE LEARNING\"/>
    </mc:Choice>
  </mc:AlternateContent>
  <xr:revisionPtr revIDLastSave="0" documentId="8_{FECF7145-C876-4B4A-9F41-84131AC1A989}" xr6:coauthVersionLast="47" xr6:coauthVersionMax="47" xr10:uidLastSave="{00000000-0000-0000-0000-000000000000}"/>
  <bookViews>
    <workbookView xWindow="-110" yWindow="-110" windowWidth="19420" windowHeight="10300" xr2:uid="{6964D01C-BFAF-479B-B287-74C83F475D8B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O42" i="1" l="1"/>
  <c r="O23" i="1"/>
  <c r="O32" i="1"/>
  <c r="O37" i="1" s="1"/>
  <c r="O27" i="1"/>
  <c r="O19" i="1"/>
</calcChain>
</file>

<file path=xl/sharedStrings.xml><?xml version="1.0" encoding="utf-8"?>
<sst xmlns="http://schemas.openxmlformats.org/spreadsheetml/2006/main" count="43" uniqueCount="38">
  <si>
    <t>Kelas : TI24E</t>
  </si>
  <si>
    <t>Matkul : Machine Learning</t>
  </si>
  <si>
    <t>1. Scatter Diagaram</t>
  </si>
  <si>
    <t>X</t>
  </si>
  <si>
    <t>Y</t>
  </si>
  <si>
    <t>X−X̄</t>
  </si>
  <si>
    <t>Y−Ȳ</t>
  </si>
  <si>
    <t>(X−X̄)(Y−Ȳ)</t>
  </si>
  <si>
    <t>(X−X̄)²</t>
  </si>
  <si>
    <t xml:space="preserve"> Ŷ</t>
  </si>
  <si>
    <t>Y−Ŷ</t>
  </si>
  <si>
    <t>(Y−Ŷ)²</t>
  </si>
  <si>
    <t>4.42</t>
  </si>
  <si>
    <t>5.63</t>
  </si>
  <si>
    <t>293.75</t>
  </si>
  <si>
    <t>0.10</t>
  </si>
  <si>
    <t>7.25</t>
  </si>
  <si>
    <t>4.76</t>
  </si>
  <si>
    <t>81.75</t>
  </si>
  <si>
    <t>14.47</t>
  </si>
  <si>
    <t>62.5</t>
  </si>
  <si>
    <t>4.75</t>
  </si>
  <si>
    <t>11.81</t>
  </si>
  <si>
    <t>0.72</t>
  </si>
  <si>
    <t>2. Tabel Perhitungan Regresi Linear Sederhana.</t>
  </si>
  <si>
    <t>X (Pendapatan rata-rata) : 5,10,20,8,4,6,12,15</t>
  </si>
  <si>
    <t>Y (Penjualan Pizza): 27, 46, 73, 40, 30, 28, 46, 59</t>
  </si>
  <si>
    <t>Kota</t>
  </si>
  <si>
    <t>Pendapatan (X)</t>
  </si>
  <si>
    <t>Penjualan Pizza (Y)</t>
  </si>
  <si>
    <t>HASIL:</t>
  </si>
  <si>
    <t>Rumus Slope :</t>
  </si>
  <si>
    <t>Rumus Intercept :</t>
  </si>
  <si>
    <t>Rumus SSR:</t>
  </si>
  <si>
    <t>Rumus SST:</t>
  </si>
  <si>
    <t>Rumus SSE:</t>
  </si>
  <si>
    <t>Rumus R</t>
  </si>
  <si>
    <t>Nama : Adhitya Prahma Dwi Putra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</si>
</sst>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\.mm"/>
  </numFmts>
  <fonts count="2" x14ac:knownFonts="1">
    <font>
      <sz val="11"/>
      <color theme="1"/>
      <name val="Calibri"/>
      <family val="2"/>
      <scheme val="minor"/>
    </font>
    <font>
      <sz val="10"/>
      <color theme="1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356854"/>
        <bgColor rgb="FF356854"/>
      </patternFill>
    </fill>
    <fill>
      <patternFill patternType="solid">
        <fgColor rgb="FFFFFFFF"/>
        <bgColor rgb="FFFFFFFF"/>
      </patternFill>
    </fill>
    <fill>
      <patternFill patternType="solid">
        <fgColor rgb="FFF6F8F9"/>
        <bgColor rgb="FFF6F8F9"/>
      </patternFill>
    </fill>
    <fill>
      <patternFill patternType="solid">
        <fgColor theme="0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8" tint="0.59999389629810485"/>
        <bgColor indexed="64"/>
      </patternFill>
    </fill>
  </fills>
  <borders count="7">
    <border>
      <left/>
      <right/>
      <top/>
      <bottom/>
      <diagonal/>
    </border>
    <border>
      <left style="thin">
        <color rgb="FF356854"/>
      </left>
      <right/>
      <top style="thin">
        <color rgb="FF356854"/>
      </top>
      <bottom/>
      <diagonal/>
    </border>
    <border>
      <left/>
      <right/>
      <top style="thin">
        <color rgb="FF356854"/>
      </top>
      <bottom/>
      <diagonal/>
    </border>
    <border>
      <left/>
      <right style="thin">
        <color rgb="FF356854"/>
      </right>
      <top style="thin">
        <color rgb="FF356854"/>
      </top>
      <bottom/>
      <diagonal/>
    </border>
    <border>
      <left style="thin">
        <color rgb="FF356854"/>
      </left>
      <right/>
      <top/>
      <bottom/>
      <diagonal/>
    </border>
    <border>
      <left/>
      <right style="thin">
        <color rgb="FF35685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0">
    <xf numFmtId="0" fontId="0" fillId="0" borderId="0" xfId="0"/>
    <xf numFmtId="0" fontId="0" fillId="2" borderId="0" xfId="0" applyFill="1"/>
    <xf numFmtId="0" fontId="1" fillId="3" borderId="1" xfId="0" applyFont="1" applyFill="1" applyBorder="1" applyAlignment="1">
      <alignment horizontal="left" vertical="center" wrapText="1"/>
    </xf>
    <xf numFmtId="0" fontId="1" fillId="3" borderId="2" xfId="0" applyFont="1" applyFill="1" applyBorder="1" applyAlignment="1">
      <alignment horizontal="left" vertical="center" wrapText="1"/>
    </xf>
    <xf numFmtId="0" fontId="1" fillId="3" borderId="2" xfId="0" applyFont="1" applyFill="1" applyBorder="1" applyAlignment="1">
      <alignment horizontal="left" vertical="center"/>
    </xf>
    <xf numFmtId="0" fontId="1" fillId="3" borderId="3" xfId="0" applyFont="1" applyFill="1" applyBorder="1" applyAlignment="1">
      <alignment horizontal="left" vertical="center"/>
    </xf>
    <xf numFmtId="0" fontId="1" fillId="4" borderId="4" xfId="0" applyFont="1" applyFill="1" applyBorder="1" applyAlignment="1">
      <alignment vertical="center"/>
    </xf>
    <xf numFmtId="0" fontId="1" fillId="4" borderId="0" xfId="0" applyFont="1" applyFill="1" applyAlignment="1">
      <alignment vertical="center"/>
    </xf>
    <xf numFmtId="3" fontId="1" fillId="4" borderId="0" xfId="0" applyNumberFormat="1" applyFont="1" applyFill="1" applyAlignment="1">
      <alignment vertical="center"/>
    </xf>
    <xf numFmtId="0" fontId="1" fillId="4" borderId="5" xfId="0" applyFont="1" applyFill="1" applyBorder="1" applyAlignment="1">
      <alignment vertical="center"/>
    </xf>
    <xf numFmtId="0" fontId="1" fillId="5" borderId="4" xfId="0" applyFont="1" applyFill="1" applyBorder="1" applyAlignment="1">
      <alignment vertical="center"/>
    </xf>
    <xf numFmtId="0" fontId="1" fillId="5" borderId="0" xfId="0" applyFont="1" applyFill="1" applyAlignment="1">
      <alignment vertical="center"/>
    </xf>
    <xf numFmtId="3" fontId="1" fillId="5" borderId="0" xfId="0" applyNumberFormat="1" applyFont="1" applyFill="1" applyAlignment="1">
      <alignment vertical="center"/>
    </xf>
    <xf numFmtId="0" fontId="1" fillId="5" borderId="5" xfId="0" applyFont="1" applyFill="1" applyBorder="1" applyAlignment="1">
      <alignment vertical="center"/>
    </xf>
    <xf numFmtId="164" fontId="1" fillId="5" borderId="5" xfId="0" applyNumberFormat="1" applyFont="1" applyFill="1" applyBorder="1" applyAlignment="1">
      <alignment vertical="center"/>
    </xf>
    <xf numFmtId="0" fontId="0" fillId="0" borderId="6" xfId="0" applyBorder="1" applyAlignment="1">
      <alignment horizontal="left"/>
    </xf>
    <xf numFmtId="0" fontId="0" fillId="6" borderId="0" xfId="0" applyFill="1"/>
    <xf numFmtId="0" fontId="0" fillId="7" borderId="6" xfId="0" applyFill="1" applyBorder="1"/>
    <xf numFmtId="0" fontId="0" fillId="8" borderId="6" xfId="0" applyFill="1" applyBorder="1"/>
    <xf numFmtId="0" fontId="0" fillId="7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png"/><Relationship Id="rId3" Type="http://schemas.openxmlformats.org/officeDocument/2006/relationships/image" Target="../media/image3.png"/><Relationship Id="rId7" Type="http://schemas.openxmlformats.org/officeDocument/2006/relationships/image" Target="../media/image7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37204</xdr:colOff>
      <xdr:row>5</xdr:row>
      <xdr:rowOff>19722</xdr:rowOff>
    </xdr:from>
    <xdr:to>
      <xdr:col>5</xdr:col>
      <xdr:colOff>259977</xdr:colOff>
      <xdr:row>15</xdr:row>
      <xdr:rowOff>76963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51ED9E28-CFD0-F45D-4658-632CC43AA40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7204" y="916193"/>
          <a:ext cx="3270773" cy="1850182"/>
        </a:xfrm>
        <a:prstGeom prst="rect">
          <a:avLst/>
        </a:prstGeom>
      </xdr:spPr>
    </xdr:pic>
    <xdr:clientData/>
  </xdr:twoCellAnchor>
  <xdr:twoCellAnchor editAs="oneCell">
    <xdr:from>
      <xdr:col>5</xdr:col>
      <xdr:colOff>522292</xdr:colOff>
      <xdr:row>9</xdr:row>
      <xdr:rowOff>79902</xdr:rowOff>
    </xdr:from>
    <xdr:to>
      <xdr:col>11</xdr:col>
      <xdr:colOff>258218</xdr:colOff>
      <xdr:row>23</xdr:row>
      <xdr:rowOff>59633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F99492B8-3334-62F9-121B-E2DF114615D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570292" y="1749676"/>
          <a:ext cx="3393526" cy="257715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13</xdr:col>
      <xdr:colOff>6626</xdr:colOff>
      <xdr:row>15</xdr:row>
      <xdr:rowOff>6625</xdr:rowOff>
    </xdr:from>
    <xdr:to>
      <xdr:col>15</xdr:col>
      <xdr:colOff>496957</xdr:colOff>
      <xdr:row>17</xdr:row>
      <xdr:rowOff>55085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EA6112C0-0066-E782-E7AF-AE7427138CB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8044069" y="2789582"/>
          <a:ext cx="2020957" cy="419520"/>
        </a:xfrm>
        <a:prstGeom prst="rect">
          <a:avLst/>
        </a:prstGeom>
      </xdr:spPr>
    </xdr:pic>
    <xdr:clientData/>
  </xdr:twoCellAnchor>
  <xdr:twoCellAnchor editAs="oneCell">
    <xdr:from>
      <xdr:col>13</xdr:col>
      <xdr:colOff>0</xdr:colOff>
      <xdr:row>19</xdr:row>
      <xdr:rowOff>0</xdr:rowOff>
    </xdr:from>
    <xdr:to>
      <xdr:col>16</xdr:col>
      <xdr:colOff>123547</xdr:colOff>
      <xdr:row>21</xdr:row>
      <xdr:rowOff>99391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C57EEF03-4AC3-06BF-26A0-8B760ADBF67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8382000" y="3525078"/>
          <a:ext cx="2754104" cy="470452"/>
        </a:xfrm>
        <a:prstGeom prst="rect">
          <a:avLst/>
        </a:prstGeom>
      </xdr:spPr>
    </xdr:pic>
    <xdr:clientData/>
  </xdr:twoCellAnchor>
  <xdr:twoCellAnchor editAs="oneCell">
    <xdr:from>
      <xdr:col>13</xdr:col>
      <xdr:colOff>1</xdr:colOff>
      <xdr:row>23</xdr:row>
      <xdr:rowOff>0</xdr:rowOff>
    </xdr:from>
    <xdr:to>
      <xdr:col>15</xdr:col>
      <xdr:colOff>443948</xdr:colOff>
      <xdr:row>25</xdr:row>
      <xdr:rowOff>51307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46936F1F-9E3F-7A5E-8EC4-C371B78BF91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8382001" y="4267200"/>
          <a:ext cx="1974573" cy="422368"/>
        </a:xfrm>
        <a:prstGeom prst="rect">
          <a:avLst/>
        </a:prstGeom>
      </xdr:spPr>
    </xdr:pic>
    <xdr:clientData/>
  </xdr:twoCellAnchor>
  <xdr:twoCellAnchor editAs="oneCell">
    <xdr:from>
      <xdr:col>13</xdr:col>
      <xdr:colOff>1</xdr:colOff>
      <xdr:row>27</xdr:row>
      <xdr:rowOff>0</xdr:rowOff>
    </xdr:from>
    <xdr:to>
      <xdr:col>15</xdr:col>
      <xdr:colOff>159027</xdr:colOff>
      <xdr:row>30</xdr:row>
      <xdr:rowOff>34787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D81976CB-0C63-B18D-29C5-522C44F7271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8382001" y="5009322"/>
          <a:ext cx="1689652" cy="591378"/>
        </a:xfrm>
        <a:prstGeom prst="rect">
          <a:avLst/>
        </a:prstGeom>
      </xdr:spPr>
    </xdr:pic>
    <xdr:clientData/>
  </xdr:twoCellAnchor>
  <xdr:twoCellAnchor editAs="oneCell">
    <xdr:from>
      <xdr:col>12</xdr:col>
      <xdr:colOff>967408</xdr:colOff>
      <xdr:row>32</xdr:row>
      <xdr:rowOff>86138</xdr:rowOff>
    </xdr:from>
    <xdr:to>
      <xdr:col>16</xdr:col>
      <xdr:colOff>364434</xdr:colOff>
      <xdr:row>35</xdr:row>
      <xdr:rowOff>44393</xdr:rowOff>
    </xdr:to>
    <xdr:pic>
      <xdr:nvPicPr>
        <xdr:cNvPr id="8" name="Picture 7">
          <a:extLst>
            <a:ext uri="{FF2B5EF4-FFF2-40B4-BE49-F238E27FC236}">
              <a16:creationId xmlns:a16="http://schemas.microsoft.com/office/drawing/2014/main" id="{BE715DC8-C621-DE5D-F865-DD7F726B62B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8282608" y="6023112"/>
          <a:ext cx="3094383" cy="514846"/>
        </a:xfrm>
        <a:prstGeom prst="rect">
          <a:avLst/>
        </a:prstGeom>
      </xdr:spPr>
    </xdr:pic>
    <xdr:clientData/>
  </xdr:twoCellAnchor>
  <xdr:twoCellAnchor editAs="oneCell">
    <xdr:from>
      <xdr:col>13</xdr:col>
      <xdr:colOff>1</xdr:colOff>
      <xdr:row>38</xdr:row>
      <xdr:rowOff>0</xdr:rowOff>
    </xdr:from>
    <xdr:to>
      <xdr:col>16</xdr:col>
      <xdr:colOff>106018</xdr:colOff>
      <xdr:row>40</xdr:row>
      <xdr:rowOff>64199</xdr:rowOff>
    </xdr:to>
    <xdr:pic>
      <xdr:nvPicPr>
        <xdr:cNvPr id="9" name="Picture 8">
          <a:extLst>
            <a:ext uri="{FF2B5EF4-FFF2-40B4-BE49-F238E27FC236}">
              <a16:creationId xmlns:a16="http://schemas.microsoft.com/office/drawing/2014/main" id="{F3DB04C5-7B8A-3B8A-D168-C0FB7F072DA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8382001" y="7050157"/>
          <a:ext cx="2736574" cy="435259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7A5055-F94E-4176-A6DC-C1E8D383C115}">
  <dimension ref="A2:Q42"/>
  <sheetViews>
    <sheetView tabSelected="1" topLeftCell="G24" zoomScale="115" zoomScaleNormal="115" workbookViewId="0">
      <selection activeCell="E5" sqref="E5"/>
    </sheetView>
  </sheetViews>
  <sheetFormatPr defaultRowHeight="14.5" x14ac:dyDescent="0.35"/>
  <cols>
    <col min="13" max="13" width="15.54296875" bestFit="1" customWidth="1"/>
    <col min="15" max="15" width="13.453125" bestFit="1" customWidth="1"/>
    <col min="16" max="16" width="16" customWidth="1"/>
  </cols>
  <sheetData>
    <row r="2" spans="1:16" x14ac:dyDescent="0.35">
      <c r="A2" s="1" t="s">
        <v>37</v>
      </c>
      <c r="B2" s="1"/>
      <c r="C2" s="1"/>
      <c r="D2" s="1"/>
    </row>
    <row r="3" spans="1:16" x14ac:dyDescent="0.35">
      <c r="A3" s="1" t="s">
        <v>0</v>
      </c>
      <c r="B3" s="1"/>
      <c r="C3" s="1"/>
      <c r="D3" s="1"/>
    </row>
    <row r="4" spans="1:16" x14ac:dyDescent="0.35">
      <c r="A4" s="1" t="s">
        <v>1</v>
      </c>
      <c r="B4" s="1"/>
      <c r="C4" s="1"/>
      <c r="D4" s="1"/>
    </row>
    <row r="6" spans="1:16" x14ac:dyDescent="0.35">
      <c r="G6" s="1" t="s">
        <v>2</v>
      </c>
      <c r="H6" s="1"/>
      <c r="N6" s="18" t="s">
        <v>27</v>
      </c>
      <c r="O6" s="18" t="s">
        <v>28</v>
      </c>
      <c r="P6" s="18" t="s">
        <v>29</v>
      </c>
    </row>
    <row r="7" spans="1:16" x14ac:dyDescent="0.35">
      <c r="N7" s="15">
        <v>1</v>
      </c>
      <c r="O7" s="15">
        <v>5</v>
      </c>
      <c r="P7" s="15">
        <v>27</v>
      </c>
    </row>
    <row r="8" spans="1:16" x14ac:dyDescent="0.35">
      <c r="G8" t="s">
        <v>25</v>
      </c>
      <c r="N8" s="15">
        <v>2</v>
      </c>
      <c r="O8" s="15">
        <v>10</v>
      </c>
      <c r="P8" s="15">
        <v>46</v>
      </c>
    </row>
    <row r="9" spans="1:16" x14ac:dyDescent="0.35">
      <c r="G9" t="s">
        <v>26</v>
      </c>
      <c r="N9" s="15">
        <v>3</v>
      </c>
      <c r="O9" s="15">
        <v>20</v>
      </c>
      <c r="P9" s="15">
        <v>73</v>
      </c>
    </row>
    <row r="10" spans="1:16" x14ac:dyDescent="0.35">
      <c r="N10" s="15">
        <v>4</v>
      </c>
      <c r="O10" s="15">
        <v>8</v>
      </c>
      <c r="P10" s="15">
        <v>40</v>
      </c>
    </row>
    <row r="11" spans="1:16" x14ac:dyDescent="0.35">
      <c r="N11" s="15">
        <v>5</v>
      </c>
      <c r="O11" s="15">
        <v>4</v>
      </c>
      <c r="P11" s="15">
        <v>30</v>
      </c>
    </row>
    <row r="12" spans="1:16" x14ac:dyDescent="0.35">
      <c r="N12" s="15">
        <v>6</v>
      </c>
      <c r="O12" s="15">
        <v>6</v>
      </c>
      <c r="P12" s="15">
        <v>28</v>
      </c>
    </row>
    <row r="13" spans="1:16" x14ac:dyDescent="0.35">
      <c r="N13" s="15">
        <v>7</v>
      </c>
      <c r="O13" s="15">
        <v>12</v>
      </c>
      <c r="P13" s="15">
        <v>46</v>
      </c>
    </row>
    <row r="14" spans="1:16" x14ac:dyDescent="0.35">
      <c r="N14" s="15">
        <v>8</v>
      </c>
      <c r="O14" s="15">
        <v>15</v>
      </c>
      <c r="P14" s="15">
        <v>59</v>
      </c>
    </row>
    <row r="16" spans="1:16" x14ac:dyDescent="0.35">
      <c r="M16" s="1" t="s">
        <v>31</v>
      </c>
    </row>
    <row r="17" spans="1:17" x14ac:dyDescent="0.35">
      <c r="Q17" s="16"/>
    </row>
    <row r="19" spans="1:17" x14ac:dyDescent="0.35">
      <c r="N19" s="17" t="s">
        <v>30</v>
      </c>
      <c r="O19" s="17">
        <f>SLOPE(P7:P14, O7:O14)</f>
        <v>2.9047619047619047</v>
      </c>
    </row>
    <row r="20" spans="1:17" x14ac:dyDescent="0.35">
      <c r="M20" s="1" t="s">
        <v>32</v>
      </c>
    </row>
    <row r="23" spans="1:17" x14ac:dyDescent="0.35">
      <c r="M23" s="16"/>
      <c r="N23" s="17" t="s">
        <v>30</v>
      </c>
      <c r="O23" s="17">
        <f>INTERCEPT(P7:P14, O7:O14)</f>
        <v>14.577380952380953</v>
      </c>
    </row>
    <row r="24" spans="1:17" x14ac:dyDescent="0.35">
      <c r="M24" s="1" t="s">
        <v>33</v>
      </c>
    </row>
    <row r="25" spans="1:17" x14ac:dyDescent="0.35">
      <c r="A25" s="1" t="s">
        <v>24</v>
      </c>
      <c r="B25" s="1"/>
      <c r="C25" s="1"/>
      <c r="D25" s="1"/>
      <c r="E25" s="1"/>
    </row>
    <row r="26" spans="1:17" x14ac:dyDescent="0.35">
      <c r="A26" s="2" t="s">
        <v>3</v>
      </c>
      <c r="B26" s="3" t="s">
        <v>4</v>
      </c>
      <c r="C26" s="3" t="s">
        <v>5</v>
      </c>
      <c r="D26" s="3" t="s">
        <v>6</v>
      </c>
      <c r="E26" s="3" t="s">
        <v>7</v>
      </c>
      <c r="F26" s="3" t="s">
        <v>8</v>
      </c>
      <c r="G26" s="4" t="s">
        <v>9</v>
      </c>
      <c r="H26" s="4" t="s">
        <v>10</v>
      </c>
      <c r="I26" s="5" t="s">
        <v>11</v>
      </c>
    </row>
    <row r="27" spans="1:17" x14ac:dyDescent="0.35">
      <c r="A27" s="6">
        <v>5</v>
      </c>
      <c r="B27" s="7">
        <v>27</v>
      </c>
      <c r="C27" s="7">
        <v>-5</v>
      </c>
      <c r="D27" s="8">
        <v>-16625</v>
      </c>
      <c r="E27" s="8">
        <v>83125</v>
      </c>
      <c r="F27" s="7">
        <v>25</v>
      </c>
      <c r="G27" s="8">
        <v>29102</v>
      </c>
      <c r="H27" s="8">
        <v>-2102</v>
      </c>
      <c r="I27" s="9" t="s">
        <v>12</v>
      </c>
      <c r="N27" s="17" t="s">
        <v>30</v>
      </c>
      <c r="O27" s="19">
        <f>RSQ(P7:P14, O7:O14) * DEVSQ(P7:P14)</f>
        <v>1771.9047619047617</v>
      </c>
    </row>
    <row r="28" spans="1:17" x14ac:dyDescent="0.35">
      <c r="A28" s="10">
        <v>10</v>
      </c>
      <c r="B28" s="11">
        <v>46</v>
      </c>
      <c r="C28" s="11">
        <v>0</v>
      </c>
      <c r="D28" s="12">
        <v>2375</v>
      </c>
      <c r="E28" s="11">
        <v>0</v>
      </c>
      <c r="F28" s="12">
        <v>0</v>
      </c>
      <c r="G28" s="12">
        <v>43675</v>
      </c>
      <c r="H28" s="12">
        <v>2373</v>
      </c>
      <c r="I28" s="13" t="s">
        <v>13</v>
      </c>
      <c r="M28" s="1" t="s">
        <v>34</v>
      </c>
    </row>
    <row r="29" spans="1:17" x14ac:dyDescent="0.35">
      <c r="A29" s="6">
        <v>20</v>
      </c>
      <c r="B29" s="7">
        <v>73</v>
      </c>
      <c r="C29" s="7">
        <v>10</v>
      </c>
      <c r="D29" s="8">
        <v>29375</v>
      </c>
      <c r="E29" s="7" t="s">
        <v>14</v>
      </c>
      <c r="F29" s="7">
        <v>100</v>
      </c>
      <c r="G29" s="8">
        <v>72677</v>
      </c>
      <c r="H29" s="8">
        <v>323</v>
      </c>
      <c r="I29" s="9" t="s">
        <v>15</v>
      </c>
    </row>
    <row r="30" spans="1:17" x14ac:dyDescent="0.35">
      <c r="A30" s="10">
        <v>8</v>
      </c>
      <c r="B30" s="11">
        <v>40</v>
      </c>
      <c r="C30" s="11">
        <v>-2</v>
      </c>
      <c r="D30" s="12">
        <v>-3625</v>
      </c>
      <c r="E30" s="11" t="s">
        <v>16</v>
      </c>
      <c r="F30" s="12">
        <v>4</v>
      </c>
      <c r="G30" s="12">
        <v>37817</v>
      </c>
      <c r="H30" s="12">
        <v>2183</v>
      </c>
      <c r="I30" s="13" t="s">
        <v>17</v>
      </c>
    </row>
    <row r="31" spans="1:17" x14ac:dyDescent="0.35">
      <c r="A31" s="6">
        <v>4</v>
      </c>
      <c r="B31" s="7">
        <v>30</v>
      </c>
      <c r="C31" s="7">
        <v>-6</v>
      </c>
      <c r="D31" s="8">
        <v>-13625</v>
      </c>
      <c r="E31" s="7" t="s">
        <v>18</v>
      </c>
      <c r="F31" s="8">
        <v>36</v>
      </c>
      <c r="G31" s="8">
        <v>26197</v>
      </c>
      <c r="H31" s="8">
        <v>3803</v>
      </c>
      <c r="I31" s="9" t="s">
        <v>19</v>
      </c>
    </row>
    <row r="32" spans="1:17" x14ac:dyDescent="0.35">
      <c r="A32" s="10">
        <v>6</v>
      </c>
      <c r="B32" s="11">
        <v>28</v>
      </c>
      <c r="C32" s="11">
        <v>-4</v>
      </c>
      <c r="D32" s="12">
        <v>-15625</v>
      </c>
      <c r="E32" s="11" t="s">
        <v>20</v>
      </c>
      <c r="F32" s="12">
        <v>16</v>
      </c>
      <c r="G32" s="12">
        <v>32007</v>
      </c>
      <c r="H32" s="12">
        <v>-4007</v>
      </c>
      <c r="I32" s="14">
        <v>46189</v>
      </c>
      <c r="M32" s="16"/>
      <c r="N32" s="19" t="s">
        <v>30</v>
      </c>
      <c r="O32" s="19">
        <f>DEVSQ(P7:P14)</f>
        <v>1829.875</v>
      </c>
    </row>
    <row r="33" spans="1:15" x14ac:dyDescent="0.35">
      <c r="A33" s="6">
        <v>12</v>
      </c>
      <c r="B33" s="7">
        <v>46</v>
      </c>
      <c r="C33" s="7">
        <v>2</v>
      </c>
      <c r="D33" s="8">
        <v>2375</v>
      </c>
      <c r="E33" s="7" t="s">
        <v>21</v>
      </c>
      <c r="F33" s="8">
        <v>4</v>
      </c>
      <c r="G33" s="8">
        <v>49437</v>
      </c>
      <c r="H33" s="8">
        <v>-3437</v>
      </c>
      <c r="I33" s="9" t="s">
        <v>22</v>
      </c>
    </row>
    <row r="34" spans="1:15" x14ac:dyDescent="0.35">
      <c r="A34" s="10">
        <v>15</v>
      </c>
      <c r="B34" s="11">
        <v>59</v>
      </c>
      <c r="C34" s="11">
        <v>5</v>
      </c>
      <c r="D34" s="12">
        <v>15375</v>
      </c>
      <c r="E34" s="12">
        <v>76875</v>
      </c>
      <c r="F34" s="12">
        <v>25</v>
      </c>
      <c r="G34" s="12">
        <v>58152</v>
      </c>
      <c r="H34" s="12">
        <v>848</v>
      </c>
      <c r="I34" s="13" t="s">
        <v>23</v>
      </c>
      <c r="M34" s="1" t="s">
        <v>35</v>
      </c>
    </row>
    <row r="36" spans="1:15" x14ac:dyDescent="0.35">
      <c r="M36" s="16"/>
    </row>
    <row r="37" spans="1:15" x14ac:dyDescent="0.35">
      <c r="N37" s="19" t="s">
        <v>30</v>
      </c>
      <c r="O37" s="19">
        <f>O32-O27</f>
        <v>57.970238095238301</v>
      </c>
    </row>
    <row r="39" spans="1:15" x14ac:dyDescent="0.35">
      <c r="M39" s="1" t="s">
        <v>36</v>
      </c>
    </row>
    <row r="42" spans="1:15" x14ac:dyDescent="0.35">
      <c r="N42" s="19" t="s">
        <v>30</v>
      </c>
      <c r="O42" s="19">
        <f>CORREL(O7:O14, P7:P14)</f>
        <v>0.9840325758520434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Renn amamiya</dc:creator>
  <cp:lastModifiedBy>adhityaprahma@outlook.com</cp:lastModifiedBy>
  <dcterms:created xsi:type="dcterms:W3CDTF">2026-02-27T07:41:12Z</dcterms:created>
  <dcterms:modified xsi:type="dcterms:W3CDTF">2026-03-03T09:14:32Z</dcterms:modified>
</cp:coreProperties>
</file>