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SA PUTRA UNIVERSITY\TEKNIK INFORMATIKA\SEMESTER 4\MACHINE LEARNING\"/>
    </mc:Choice>
  </mc:AlternateContent>
  <xr:revisionPtr revIDLastSave="0" documentId="8_{895F214A-BE41-44CC-8116-307B41FADE3A}" xr6:coauthVersionLast="47" xr6:coauthVersionMax="47" xr10:uidLastSave="{00000000-0000-0000-0000-000000000000}"/>
  <bookViews>
    <workbookView xWindow="-110" yWindow="-110" windowWidth="19420" windowHeight="10300" xr2:uid="{F83E973F-7BFF-4193-BD88-B2C7CC752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9" i="1" l="1"/>
  <c r="E49" i="1" s="1"/>
  <c r="D25" i="1"/>
  <c r="E25" i="1" s="1"/>
  <c r="G25" i="1" s="1"/>
  <c r="D26" i="1"/>
  <c r="E26" i="1" s="1"/>
  <c r="G26" i="1" s="1"/>
  <c r="D27" i="1"/>
  <c r="E27" i="1" s="1"/>
  <c r="G27" i="1" s="1"/>
  <c r="D28" i="1"/>
  <c r="E28" i="1" s="1"/>
  <c r="G28" i="1" s="1"/>
  <c r="D29" i="1"/>
  <c r="E29" i="1" s="1"/>
  <c r="G29" i="1" s="1"/>
  <c r="D30" i="1"/>
  <c r="E30" i="1" s="1"/>
  <c r="G30" i="1" s="1"/>
  <c r="D31" i="1"/>
  <c r="E31" i="1" s="1"/>
  <c r="G31" i="1" s="1"/>
  <c r="D32" i="1"/>
  <c r="E32" i="1" s="1"/>
  <c r="G32" i="1" s="1"/>
  <c r="D33" i="1"/>
  <c r="E33" i="1" s="1"/>
  <c r="G33" i="1" s="1"/>
  <c r="D34" i="1"/>
  <c r="E34" i="1" s="1"/>
  <c r="G34" i="1" s="1"/>
  <c r="D35" i="1"/>
  <c r="E35" i="1" s="1"/>
  <c r="G35" i="1" s="1"/>
  <c r="D36" i="1"/>
  <c r="E36" i="1" s="1"/>
  <c r="G36" i="1" s="1"/>
  <c r="D37" i="1"/>
  <c r="E37" i="1" s="1"/>
  <c r="G37" i="1" s="1"/>
  <c r="D38" i="1"/>
  <c r="E38" i="1" s="1"/>
  <c r="G38" i="1" s="1"/>
  <c r="D39" i="1"/>
  <c r="E39" i="1" s="1"/>
  <c r="G39" i="1" s="1"/>
  <c r="D40" i="1"/>
  <c r="E40" i="1" s="1"/>
  <c r="G40" i="1" s="1"/>
  <c r="D41" i="1"/>
  <c r="E41" i="1" s="1"/>
  <c r="G41" i="1" s="1"/>
  <c r="D42" i="1"/>
  <c r="E42" i="1" s="1"/>
  <c r="G42" i="1" s="1"/>
  <c r="D43" i="1"/>
  <c r="E43" i="1" s="1"/>
  <c r="G43" i="1" s="1"/>
  <c r="D44" i="1"/>
  <c r="E44" i="1" s="1"/>
  <c r="G44" i="1" s="1"/>
  <c r="D45" i="1"/>
  <c r="E45" i="1" s="1"/>
  <c r="G45" i="1" s="1"/>
  <c r="D46" i="1"/>
  <c r="E46" i="1" s="1"/>
  <c r="G46" i="1" s="1"/>
  <c r="D47" i="1"/>
  <c r="E47" i="1" s="1"/>
  <c r="G47" i="1" s="1"/>
  <c r="D48" i="1"/>
  <c r="E48" i="1" s="1"/>
  <c r="G48" i="1" s="1"/>
  <c r="D24" i="1"/>
  <c r="E24" i="1" s="1"/>
  <c r="G24" i="1" s="1"/>
  <c r="I47" i="1" l="1"/>
  <c r="K47" i="1" s="1"/>
  <c r="H47" i="1"/>
  <c r="J47" i="1" s="1"/>
  <c r="I27" i="1"/>
  <c r="K27" i="1" s="1"/>
  <c r="H27" i="1"/>
  <c r="J27" i="1" s="1"/>
  <c r="I39" i="1"/>
  <c r="K39" i="1" s="1"/>
  <c r="H39" i="1"/>
  <c r="J39" i="1" s="1"/>
  <c r="H46" i="1"/>
  <c r="J46" i="1" s="1"/>
  <c r="I46" i="1"/>
  <c r="K46" i="1" s="1"/>
  <c r="H38" i="1"/>
  <c r="J38" i="1" s="1"/>
  <c r="I38" i="1"/>
  <c r="K38" i="1" s="1"/>
  <c r="I45" i="1"/>
  <c r="K45" i="1" s="1"/>
  <c r="H45" i="1"/>
  <c r="J45" i="1" s="1"/>
  <c r="I29" i="1"/>
  <c r="K29" i="1" s="1"/>
  <c r="H29" i="1"/>
  <c r="J29" i="1" s="1"/>
  <c r="I28" i="1"/>
  <c r="K28" i="1" s="1"/>
  <c r="H28" i="1"/>
  <c r="J28" i="1" s="1"/>
  <c r="I35" i="1"/>
  <c r="K35" i="1" s="1"/>
  <c r="H35" i="1"/>
  <c r="J35" i="1" s="1"/>
  <c r="I34" i="1"/>
  <c r="K34" i="1" s="1"/>
  <c r="H34" i="1"/>
  <c r="J34" i="1" s="1"/>
  <c r="I24" i="1"/>
  <c r="K24" i="1" s="1"/>
  <c r="H24" i="1"/>
  <c r="J24" i="1" s="1"/>
  <c r="I41" i="1"/>
  <c r="K41" i="1" s="1"/>
  <c r="H41" i="1"/>
  <c r="J41" i="1" s="1"/>
  <c r="I33" i="1"/>
  <c r="K33" i="1" s="1"/>
  <c r="H33" i="1"/>
  <c r="J33" i="1" s="1"/>
  <c r="I25" i="1"/>
  <c r="K25" i="1" s="1"/>
  <c r="H25" i="1"/>
  <c r="J25" i="1" s="1"/>
  <c r="I31" i="1"/>
  <c r="K31" i="1" s="1"/>
  <c r="H31" i="1"/>
  <c r="J31" i="1" s="1"/>
  <c r="H30" i="1"/>
  <c r="J30" i="1" s="1"/>
  <c r="I30" i="1"/>
  <c r="K30" i="1" s="1"/>
  <c r="I37" i="1"/>
  <c r="K37" i="1" s="1"/>
  <c r="H37" i="1"/>
  <c r="J37" i="1" s="1"/>
  <c r="I44" i="1"/>
  <c r="K44" i="1" s="1"/>
  <c r="H44" i="1"/>
  <c r="J44" i="1" s="1"/>
  <c r="I36" i="1"/>
  <c r="K36" i="1" s="1"/>
  <c r="H36" i="1"/>
  <c r="J36" i="1" s="1"/>
  <c r="I43" i="1"/>
  <c r="K43" i="1" s="1"/>
  <c r="H43" i="1"/>
  <c r="J43" i="1" s="1"/>
  <c r="I42" i="1"/>
  <c r="K42" i="1" s="1"/>
  <c r="H42" i="1"/>
  <c r="J42" i="1" s="1"/>
  <c r="I26" i="1"/>
  <c r="K26" i="1" s="1"/>
  <c r="H26" i="1"/>
  <c r="J26" i="1" s="1"/>
  <c r="I48" i="1"/>
  <c r="K48" i="1" s="1"/>
  <c r="H48" i="1"/>
  <c r="J48" i="1" s="1"/>
  <c r="I40" i="1"/>
  <c r="K40" i="1" s="1"/>
  <c r="H40" i="1"/>
  <c r="J40" i="1" s="1"/>
  <c r="I32" i="1"/>
  <c r="K32" i="1" s="1"/>
  <c r="H32" i="1"/>
  <c r="J32" i="1" s="1"/>
</calcChain>
</file>

<file path=xl/sharedStrings.xml><?xml version="1.0" encoding="utf-8"?>
<sst xmlns="http://schemas.openxmlformats.org/spreadsheetml/2006/main" count="42" uniqueCount="39">
  <si>
    <t>Nama</t>
  </si>
  <si>
    <t>NIM</t>
  </si>
  <si>
    <t>Kelas</t>
  </si>
  <si>
    <t>Mata Kuliah</t>
  </si>
  <si>
    <t>Jurusan</t>
  </si>
  <si>
    <t>Sesi</t>
  </si>
  <si>
    <t>Dosen Pengampu</t>
  </si>
  <si>
    <t>: TI24E</t>
  </si>
  <si>
    <t>: Machine Learning</t>
  </si>
  <si>
    <t>: 5</t>
  </si>
  <si>
    <t>: Gina Purnama Insany, S.ST.,M.Kom</t>
  </si>
  <si>
    <t>: Teknik Informatika</t>
  </si>
  <si>
    <t>Property x1</t>
  </si>
  <si>
    <t>debt x2</t>
  </si>
  <si>
    <t>Status</t>
  </si>
  <si>
    <t>not bankrupt</t>
  </si>
  <si>
    <t>bankrupt</t>
  </si>
  <si>
    <t>?</t>
  </si>
  <si>
    <t>bankrupt or not?</t>
  </si>
  <si>
    <t>w1  awal</t>
  </si>
  <si>
    <t>w2 awal</t>
  </si>
  <si>
    <t>Learning rate</t>
  </si>
  <si>
    <t>threshold</t>
  </si>
  <si>
    <t>New W = Old W + n . Error . X</t>
  </si>
  <si>
    <t>W baru = W lama + n . Error . X</t>
  </si>
  <si>
    <t>Iterasi</t>
  </si>
  <si>
    <t>x1</t>
  </si>
  <si>
    <t>x2</t>
  </si>
  <si>
    <t>V</t>
  </si>
  <si>
    <t>Output Y1</t>
  </si>
  <si>
    <t>Y</t>
  </si>
  <si>
    <t>error</t>
  </si>
  <si>
    <t>w1 new</t>
  </si>
  <si>
    <t>w2 new</t>
  </si>
  <si>
    <t>Delta w1</t>
  </si>
  <si>
    <t>Delta w2</t>
  </si>
  <si>
    <t>Prediksi</t>
  </si>
  <si>
    <t>Adhitya Prahma Dwi Putra</t>
  </si>
  <si>
    <t>: 20240040182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</si>
</sst>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2" borderId="1" xfId="0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0" fillId="2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0" fillId="5" borderId="1" xfId="0" applyFill="1" applyBorder="1"/>
  </cellXfs>
  <cellStyles count="2">
    <cellStyle name="Normal" xfId="0" builtinId="0"/>
    <cellStyle name="Normal 2" xfId="1" xr:uid="{77F65A31-59C0-446F-9629-CFF97A0F54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F70E-B96F-4758-ADE7-91DE94D38A00}">
  <dimension ref="A1:K49"/>
  <sheetViews>
    <sheetView tabSelected="1" topLeftCell="A11" workbookViewId="0">
      <selection activeCell="F50" sqref="F50"/>
    </sheetView>
  </sheetViews>
  <sheetFormatPr defaultRowHeight="14.5" x14ac:dyDescent="0.35"/>
  <cols>
    <col min="1" max="1" width="13.36328125" customWidth="1"/>
    <col min="2" max="2" width="8.90625" customWidth="1"/>
    <col min="4" max="4" width="15.453125" customWidth="1"/>
  </cols>
  <sheetData>
    <row r="1" spans="1:6" x14ac:dyDescent="0.35">
      <c r="A1" s="1" t="s">
        <v>0</v>
      </c>
      <c r="B1" s="2"/>
      <c r="C1" s="2" t="s">
        <v>37</v>
      </c>
      <c r="D1" s="2"/>
      <c r="E1" s="2"/>
      <c r="F1" s="3"/>
    </row>
    <row r="2" spans="1:6" x14ac:dyDescent="0.35">
      <c r="A2" s="1" t="s">
        <v>1</v>
      </c>
      <c r="B2" s="2"/>
      <c r="C2" s="2" t="s">
        <v>38</v>
      </c>
      <c r="D2" s="2"/>
      <c r="E2" s="2"/>
      <c r="F2" s="3"/>
    </row>
    <row r="3" spans="1:6" x14ac:dyDescent="0.35">
      <c r="A3" s="1" t="s">
        <v>2</v>
      </c>
      <c r="B3" s="2"/>
      <c r="C3" s="2" t="s">
        <v>7</v>
      </c>
      <c r="D3" s="2"/>
      <c r="E3" s="2"/>
      <c r="F3" s="3"/>
    </row>
    <row r="4" spans="1:6" x14ac:dyDescent="0.35">
      <c r="A4" s="1" t="s">
        <v>3</v>
      </c>
      <c r="B4" s="2"/>
      <c r="C4" s="2" t="s">
        <v>8</v>
      </c>
      <c r="D4" s="2"/>
      <c r="E4" s="2"/>
      <c r="F4" s="3"/>
    </row>
    <row r="5" spans="1:6" x14ac:dyDescent="0.35">
      <c r="A5" s="1" t="s">
        <v>5</v>
      </c>
      <c r="B5" s="2"/>
      <c r="C5" s="2" t="s">
        <v>9</v>
      </c>
      <c r="D5" s="2"/>
      <c r="E5" s="2"/>
      <c r="F5" s="3"/>
    </row>
    <row r="6" spans="1:6" x14ac:dyDescent="0.35">
      <c r="A6" s="1" t="s">
        <v>6</v>
      </c>
      <c r="B6" s="2"/>
      <c r="C6" s="2" t="s">
        <v>10</v>
      </c>
      <c r="D6" s="2"/>
      <c r="E6" s="2"/>
      <c r="F6" s="3"/>
    </row>
    <row r="7" spans="1:6" x14ac:dyDescent="0.35">
      <c r="A7" s="1" t="s">
        <v>4</v>
      </c>
      <c r="B7" s="2"/>
      <c r="C7" s="2" t="s">
        <v>11</v>
      </c>
      <c r="D7" s="2"/>
      <c r="E7" s="2"/>
      <c r="F7" s="3"/>
    </row>
    <row r="10" spans="1:6" x14ac:dyDescent="0.35">
      <c r="A10" s="6" t="s">
        <v>12</v>
      </c>
      <c r="B10" s="6" t="s">
        <v>13</v>
      </c>
      <c r="C10" s="6" t="s">
        <v>14</v>
      </c>
      <c r="D10" s="4"/>
    </row>
    <row r="11" spans="1:6" x14ac:dyDescent="0.35">
      <c r="A11" s="4">
        <v>0.5</v>
      </c>
      <c r="B11" s="4">
        <v>0.3</v>
      </c>
      <c r="C11" s="4">
        <v>0</v>
      </c>
      <c r="D11" s="5" t="s">
        <v>15</v>
      </c>
    </row>
    <row r="12" spans="1:6" x14ac:dyDescent="0.35">
      <c r="A12" s="4">
        <v>0.8</v>
      </c>
      <c r="B12" s="4">
        <v>0.6</v>
      </c>
      <c r="C12" s="4">
        <v>1</v>
      </c>
      <c r="D12" s="5" t="s">
        <v>15</v>
      </c>
    </row>
    <row r="13" spans="1:6" x14ac:dyDescent="0.35">
      <c r="A13" s="4">
        <v>1.1000000000000001</v>
      </c>
      <c r="B13" s="4">
        <v>1</v>
      </c>
      <c r="C13" s="4">
        <v>1</v>
      </c>
      <c r="D13" s="5" t="s">
        <v>15</v>
      </c>
    </row>
    <row r="14" spans="1:6" x14ac:dyDescent="0.35">
      <c r="A14" s="4">
        <v>1.2</v>
      </c>
      <c r="B14" s="4">
        <v>1</v>
      </c>
      <c r="C14" s="4">
        <v>1</v>
      </c>
      <c r="D14" s="5" t="s">
        <v>16</v>
      </c>
    </row>
    <row r="15" spans="1:6" x14ac:dyDescent="0.35">
      <c r="A15" s="4">
        <v>0.5</v>
      </c>
      <c r="B15" s="4">
        <v>1.5</v>
      </c>
      <c r="C15" s="4">
        <v>0</v>
      </c>
      <c r="D15" s="5" t="s">
        <v>16</v>
      </c>
    </row>
    <row r="16" spans="1:6" x14ac:dyDescent="0.35">
      <c r="A16" s="4">
        <v>0.9</v>
      </c>
      <c r="B16" s="4">
        <v>0.3</v>
      </c>
      <c r="C16" s="4" t="s">
        <v>17</v>
      </c>
      <c r="D16" s="4" t="s">
        <v>18</v>
      </c>
    </row>
    <row r="18" spans="1:11" x14ac:dyDescent="0.35">
      <c r="A18" s="7" t="s">
        <v>19</v>
      </c>
      <c r="B18" s="8">
        <v>2.8</v>
      </c>
      <c r="D18" s="9" t="s">
        <v>24</v>
      </c>
      <c r="E18" s="9"/>
      <c r="F18" s="9"/>
    </row>
    <row r="19" spans="1:11" x14ac:dyDescent="0.35">
      <c r="A19" s="7" t="s">
        <v>20</v>
      </c>
      <c r="B19" s="8">
        <v>2.1</v>
      </c>
      <c r="D19" s="10" t="s">
        <v>23</v>
      </c>
      <c r="E19" s="10"/>
      <c r="F19" s="10"/>
    </row>
    <row r="20" spans="1:11" x14ac:dyDescent="0.35">
      <c r="A20" s="7" t="s">
        <v>21</v>
      </c>
      <c r="B20" s="8">
        <v>0.5</v>
      </c>
    </row>
    <row r="21" spans="1:11" x14ac:dyDescent="0.35">
      <c r="A21" s="7" t="s">
        <v>22</v>
      </c>
      <c r="B21" s="8">
        <v>0.5</v>
      </c>
    </row>
    <row r="23" spans="1:11" x14ac:dyDescent="0.35">
      <c r="A23" s="12" t="s">
        <v>25</v>
      </c>
      <c r="B23" s="13" t="s">
        <v>26</v>
      </c>
      <c r="C23" s="13" t="s">
        <v>27</v>
      </c>
      <c r="D23" s="13" t="s">
        <v>28</v>
      </c>
      <c r="E23" s="13" t="s">
        <v>29</v>
      </c>
      <c r="F23" s="13" t="s">
        <v>30</v>
      </c>
      <c r="G23" s="13" t="s">
        <v>31</v>
      </c>
      <c r="H23" s="13" t="s">
        <v>32</v>
      </c>
      <c r="I23" s="13" t="s">
        <v>33</v>
      </c>
      <c r="J23" s="13" t="s">
        <v>34</v>
      </c>
      <c r="K23" s="13" t="s">
        <v>35</v>
      </c>
    </row>
    <row r="24" spans="1:11" x14ac:dyDescent="0.35">
      <c r="A24" s="11">
        <v>1</v>
      </c>
      <c r="B24" s="11">
        <v>0.5</v>
      </c>
      <c r="C24" s="11">
        <v>0.3</v>
      </c>
      <c r="D24" s="11">
        <f>($B$18*B24)+($B$19*C24)</f>
        <v>2.0299999999999998</v>
      </c>
      <c r="E24" s="11">
        <f>IF(D24&gt;$B$21,1,0)</f>
        <v>1</v>
      </c>
      <c r="F24" s="11">
        <v>0</v>
      </c>
      <c r="G24" s="11">
        <f>F24-E24</f>
        <v>-1</v>
      </c>
      <c r="H24" s="11">
        <f>$B$18+($B$20+G24*B24)</f>
        <v>2.8</v>
      </c>
      <c r="I24" s="11">
        <f>$B$19+($B$20*G24*C24)</f>
        <v>1.9500000000000002</v>
      </c>
      <c r="J24" s="11">
        <f>H24-$B$18</f>
        <v>0</v>
      </c>
      <c r="K24" s="11">
        <f>I24-$B$19</f>
        <v>-0.14999999999999991</v>
      </c>
    </row>
    <row r="25" spans="1:11" x14ac:dyDescent="0.35">
      <c r="A25" s="11"/>
      <c r="B25" s="11">
        <v>0.8</v>
      </c>
      <c r="C25" s="11">
        <v>0.6</v>
      </c>
      <c r="D25" s="11">
        <f t="shared" ref="D25:D48" si="0">($B$18*B25)+($B$19*C25)</f>
        <v>3.5</v>
      </c>
      <c r="E25" s="11">
        <f t="shared" ref="E25:E49" si="1">IF(D25&gt;$B$21,1,0)</f>
        <v>1</v>
      </c>
      <c r="F25" s="11">
        <v>1</v>
      </c>
      <c r="G25" s="11">
        <f t="shared" ref="G25:G48" si="2">F25-E25</f>
        <v>0</v>
      </c>
      <c r="H25" s="11">
        <f t="shared" ref="H25:H48" si="3">$B$18+($B$20+G25*B25)</f>
        <v>3.3</v>
      </c>
      <c r="I25" s="11">
        <f t="shared" ref="I25:I48" si="4">$B$19+($B$20*G25*C25)</f>
        <v>2.1</v>
      </c>
      <c r="J25" s="11">
        <f t="shared" ref="J25:J48" si="5">H25-$B$18</f>
        <v>0.5</v>
      </c>
      <c r="K25" s="11">
        <f t="shared" ref="K25:K48" si="6">I25-$B$19</f>
        <v>0</v>
      </c>
    </row>
    <row r="26" spans="1:11" x14ac:dyDescent="0.35">
      <c r="A26" s="11"/>
      <c r="B26" s="11">
        <v>1.1000000000000001</v>
      </c>
      <c r="C26" s="11">
        <v>1</v>
      </c>
      <c r="D26" s="11">
        <f t="shared" si="0"/>
        <v>5.18</v>
      </c>
      <c r="E26" s="11">
        <f t="shared" si="1"/>
        <v>1</v>
      </c>
      <c r="F26" s="11">
        <v>1</v>
      </c>
      <c r="G26" s="11">
        <f t="shared" si="2"/>
        <v>0</v>
      </c>
      <c r="H26" s="11">
        <f t="shared" si="3"/>
        <v>3.3</v>
      </c>
      <c r="I26" s="11">
        <f t="shared" si="4"/>
        <v>2.1</v>
      </c>
      <c r="J26" s="11">
        <f t="shared" si="5"/>
        <v>0.5</v>
      </c>
      <c r="K26" s="11">
        <f t="shared" si="6"/>
        <v>0</v>
      </c>
    </row>
    <row r="27" spans="1:11" x14ac:dyDescent="0.35">
      <c r="A27" s="11"/>
      <c r="B27" s="11">
        <v>1.2</v>
      </c>
      <c r="C27" s="11">
        <v>1</v>
      </c>
      <c r="D27" s="11">
        <f t="shared" si="0"/>
        <v>5.46</v>
      </c>
      <c r="E27" s="11">
        <f t="shared" si="1"/>
        <v>1</v>
      </c>
      <c r="F27" s="11">
        <v>1</v>
      </c>
      <c r="G27" s="11">
        <f t="shared" si="2"/>
        <v>0</v>
      </c>
      <c r="H27" s="11">
        <f t="shared" si="3"/>
        <v>3.3</v>
      </c>
      <c r="I27" s="11">
        <f t="shared" si="4"/>
        <v>2.1</v>
      </c>
      <c r="J27" s="11">
        <f t="shared" si="5"/>
        <v>0.5</v>
      </c>
      <c r="K27" s="11">
        <f t="shared" si="6"/>
        <v>0</v>
      </c>
    </row>
    <row r="28" spans="1:11" x14ac:dyDescent="0.35">
      <c r="A28" s="11"/>
      <c r="B28" s="11">
        <v>0.5</v>
      </c>
      <c r="C28" s="11">
        <v>1.5</v>
      </c>
      <c r="D28" s="11">
        <f t="shared" si="0"/>
        <v>4.5500000000000007</v>
      </c>
      <c r="E28" s="11">
        <f t="shared" si="1"/>
        <v>1</v>
      </c>
      <c r="F28" s="11">
        <v>0</v>
      </c>
      <c r="G28" s="11">
        <f t="shared" si="2"/>
        <v>-1</v>
      </c>
      <c r="H28" s="11">
        <f t="shared" si="3"/>
        <v>2.8</v>
      </c>
      <c r="I28" s="11">
        <f t="shared" si="4"/>
        <v>1.35</v>
      </c>
      <c r="J28" s="11">
        <f t="shared" si="5"/>
        <v>0</v>
      </c>
      <c r="K28" s="11">
        <f t="shared" si="6"/>
        <v>-0.75</v>
      </c>
    </row>
    <row r="29" spans="1:11" x14ac:dyDescent="0.35">
      <c r="A29" s="11">
        <v>2</v>
      </c>
      <c r="B29" s="11">
        <v>0.5</v>
      </c>
      <c r="C29" s="11">
        <v>0.3</v>
      </c>
      <c r="D29" s="11">
        <f t="shared" si="0"/>
        <v>2.0299999999999998</v>
      </c>
      <c r="E29" s="11">
        <f t="shared" si="1"/>
        <v>1</v>
      </c>
      <c r="F29" s="11">
        <v>0</v>
      </c>
      <c r="G29" s="11">
        <f t="shared" si="2"/>
        <v>-1</v>
      </c>
      <c r="H29" s="11">
        <f t="shared" si="3"/>
        <v>2.8</v>
      </c>
      <c r="I29" s="11">
        <f t="shared" si="4"/>
        <v>1.9500000000000002</v>
      </c>
      <c r="J29" s="11">
        <f t="shared" si="5"/>
        <v>0</v>
      </c>
      <c r="K29" s="11">
        <f t="shared" si="6"/>
        <v>-0.14999999999999991</v>
      </c>
    </row>
    <row r="30" spans="1:11" x14ac:dyDescent="0.35">
      <c r="A30" s="11"/>
      <c r="B30" s="11">
        <v>0.8</v>
      </c>
      <c r="C30" s="11">
        <v>0.6</v>
      </c>
      <c r="D30" s="11">
        <f t="shared" si="0"/>
        <v>3.5</v>
      </c>
      <c r="E30" s="11">
        <f t="shared" si="1"/>
        <v>1</v>
      </c>
      <c r="F30" s="11">
        <v>1</v>
      </c>
      <c r="G30" s="11">
        <f t="shared" si="2"/>
        <v>0</v>
      </c>
      <c r="H30" s="11">
        <f t="shared" si="3"/>
        <v>3.3</v>
      </c>
      <c r="I30" s="11">
        <f t="shared" si="4"/>
        <v>2.1</v>
      </c>
      <c r="J30" s="11">
        <f t="shared" si="5"/>
        <v>0.5</v>
      </c>
      <c r="K30" s="11">
        <f t="shared" si="6"/>
        <v>0</v>
      </c>
    </row>
    <row r="31" spans="1:11" x14ac:dyDescent="0.35">
      <c r="A31" s="11"/>
      <c r="B31" s="11">
        <v>1.1000000000000001</v>
      </c>
      <c r="C31" s="11">
        <v>1</v>
      </c>
      <c r="D31" s="11">
        <f t="shared" si="0"/>
        <v>5.18</v>
      </c>
      <c r="E31" s="11">
        <f t="shared" si="1"/>
        <v>1</v>
      </c>
      <c r="F31" s="11">
        <v>1</v>
      </c>
      <c r="G31" s="11">
        <f t="shared" si="2"/>
        <v>0</v>
      </c>
      <c r="H31" s="11">
        <f t="shared" si="3"/>
        <v>3.3</v>
      </c>
      <c r="I31" s="11">
        <f t="shared" si="4"/>
        <v>2.1</v>
      </c>
      <c r="J31" s="11">
        <f t="shared" si="5"/>
        <v>0.5</v>
      </c>
      <c r="K31" s="11">
        <f t="shared" si="6"/>
        <v>0</v>
      </c>
    </row>
    <row r="32" spans="1:11" x14ac:dyDescent="0.35">
      <c r="A32" s="11"/>
      <c r="B32" s="11">
        <v>1.2</v>
      </c>
      <c r="C32" s="11">
        <v>1</v>
      </c>
      <c r="D32" s="11">
        <f t="shared" si="0"/>
        <v>5.46</v>
      </c>
      <c r="E32" s="11">
        <f t="shared" si="1"/>
        <v>1</v>
      </c>
      <c r="F32" s="11">
        <v>1</v>
      </c>
      <c r="G32" s="11">
        <f t="shared" si="2"/>
        <v>0</v>
      </c>
      <c r="H32" s="11">
        <f t="shared" si="3"/>
        <v>3.3</v>
      </c>
      <c r="I32" s="11">
        <f t="shared" si="4"/>
        <v>2.1</v>
      </c>
      <c r="J32" s="11">
        <f t="shared" si="5"/>
        <v>0.5</v>
      </c>
      <c r="K32" s="11">
        <f t="shared" si="6"/>
        <v>0</v>
      </c>
    </row>
    <row r="33" spans="1:11" x14ac:dyDescent="0.35">
      <c r="A33" s="11"/>
      <c r="B33" s="11">
        <v>0.5</v>
      </c>
      <c r="C33" s="11">
        <v>1.5</v>
      </c>
      <c r="D33" s="11">
        <f t="shared" si="0"/>
        <v>4.5500000000000007</v>
      </c>
      <c r="E33" s="11">
        <f t="shared" si="1"/>
        <v>1</v>
      </c>
      <c r="F33" s="11">
        <v>0</v>
      </c>
      <c r="G33" s="11">
        <f t="shared" si="2"/>
        <v>-1</v>
      </c>
      <c r="H33" s="11">
        <f t="shared" si="3"/>
        <v>2.8</v>
      </c>
      <c r="I33" s="11">
        <f t="shared" si="4"/>
        <v>1.35</v>
      </c>
      <c r="J33" s="11">
        <f t="shared" si="5"/>
        <v>0</v>
      </c>
      <c r="K33" s="11">
        <f t="shared" si="6"/>
        <v>-0.75</v>
      </c>
    </row>
    <row r="34" spans="1:11" x14ac:dyDescent="0.35">
      <c r="A34" s="11">
        <v>3</v>
      </c>
      <c r="B34" s="11">
        <v>0.5</v>
      </c>
      <c r="C34" s="11">
        <v>0.3</v>
      </c>
      <c r="D34" s="11">
        <f t="shared" si="0"/>
        <v>2.0299999999999998</v>
      </c>
      <c r="E34" s="11">
        <f t="shared" si="1"/>
        <v>1</v>
      </c>
      <c r="F34" s="11">
        <v>0</v>
      </c>
      <c r="G34" s="11">
        <f t="shared" si="2"/>
        <v>-1</v>
      </c>
      <c r="H34" s="11">
        <f t="shared" si="3"/>
        <v>2.8</v>
      </c>
      <c r="I34" s="11">
        <f t="shared" si="4"/>
        <v>1.9500000000000002</v>
      </c>
      <c r="J34" s="11">
        <f t="shared" si="5"/>
        <v>0</v>
      </c>
      <c r="K34" s="11">
        <f t="shared" si="6"/>
        <v>-0.14999999999999991</v>
      </c>
    </row>
    <row r="35" spans="1:11" x14ac:dyDescent="0.35">
      <c r="A35" s="11"/>
      <c r="B35" s="11">
        <v>0.8</v>
      </c>
      <c r="C35" s="11">
        <v>0.6</v>
      </c>
      <c r="D35" s="11">
        <f t="shared" si="0"/>
        <v>3.5</v>
      </c>
      <c r="E35" s="11">
        <f t="shared" si="1"/>
        <v>1</v>
      </c>
      <c r="F35" s="11">
        <v>1</v>
      </c>
      <c r="G35" s="11">
        <f t="shared" si="2"/>
        <v>0</v>
      </c>
      <c r="H35" s="11">
        <f t="shared" si="3"/>
        <v>3.3</v>
      </c>
      <c r="I35" s="11">
        <f t="shared" si="4"/>
        <v>2.1</v>
      </c>
      <c r="J35" s="11">
        <f t="shared" si="5"/>
        <v>0.5</v>
      </c>
      <c r="K35" s="11">
        <f t="shared" si="6"/>
        <v>0</v>
      </c>
    </row>
    <row r="36" spans="1:11" x14ac:dyDescent="0.35">
      <c r="A36" s="11"/>
      <c r="B36" s="11">
        <v>1.1000000000000001</v>
      </c>
      <c r="C36" s="11">
        <v>1</v>
      </c>
      <c r="D36" s="11">
        <f t="shared" si="0"/>
        <v>5.18</v>
      </c>
      <c r="E36" s="11">
        <f t="shared" si="1"/>
        <v>1</v>
      </c>
      <c r="F36" s="11">
        <v>1</v>
      </c>
      <c r="G36" s="11">
        <f t="shared" si="2"/>
        <v>0</v>
      </c>
      <c r="H36" s="11">
        <f t="shared" si="3"/>
        <v>3.3</v>
      </c>
      <c r="I36" s="11">
        <f t="shared" si="4"/>
        <v>2.1</v>
      </c>
      <c r="J36" s="11">
        <f t="shared" si="5"/>
        <v>0.5</v>
      </c>
      <c r="K36" s="11">
        <f t="shared" si="6"/>
        <v>0</v>
      </c>
    </row>
    <row r="37" spans="1:11" x14ac:dyDescent="0.35">
      <c r="A37" s="11"/>
      <c r="B37" s="11">
        <v>1.2</v>
      </c>
      <c r="C37" s="11">
        <v>1</v>
      </c>
      <c r="D37" s="11">
        <f t="shared" si="0"/>
        <v>5.46</v>
      </c>
      <c r="E37" s="11">
        <f t="shared" si="1"/>
        <v>1</v>
      </c>
      <c r="F37" s="11">
        <v>1</v>
      </c>
      <c r="G37" s="11">
        <f t="shared" si="2"/>
        <v>0</v>
      </c>
      <c r="H37" s="11">
        <f t="shared" si="3"/>
        <v>3.3</v>
      </c>
      <c r="I37" s="11">
        <f t="shared" si="4"/>
        <v>2.1</v>
      </c>
      <c r="J37" s="11">
        <f t="shared" si="5"/>
        <v>0.5</v>
      </c>
      <c r="K37" s="11">
        <f t="shared" si="6"/>
        <v>0</v>
      </c>
    </row>
    <row r="38" spans="1:11" x14ac:dyDescent="0.35">
      <c r="A38" s="11"/>
      <c r="B38" s="11">
        <v>0.5</v>
      </c>
      <c r="C38" s="11">
        <v>1.5</v>
      </c>
      <c r="D38" s="11">
        <f t="shared" si="0"/>
        <v>4.5500000000000007</v>
      </c>
      <c r="E38" s="11">
        <f t="shared" si="1"/>
        <v>1</v>
      </c>
      <c r="F38" s="11">
        <v>0</v>
      </c>
      <c r="G38" s="11">
        <f t="shared" si="2"/>
        <v>-1</v>
      </c>
      <c r="H38" s="11">
        <f t="shared" si="3"/>
        <v>2.8</v>
      </c>
      <c r="I38" s="11">
        <f t="shared" si="4"/>
        <v>1.35</v>
      </c>
      <c r="J38" s="11">
        <f t="shared" si="5"/>
        <v>0</v>
      </c>
      <c r="K38" s="11">
        <f t="shared" si="6"/>
        <v>-0.75</v>
      </c>
    </row>
    <row r="39" spans="1:11" x14ac:dyDescent="0.35">
      <c r="A39" s="11">
        <v>4</v>
      </c>
      <c r="B39" s="11">
        <v>0.5</v>
      </c>
      <c r="C39" s="11">
        <v>0.3</v>
      </c>
      <c r="D39" s="11">
        <f t="shared" si="0"/>
        <v>2.0299999999999998</v>
      </c>
      <c r="E39" s="11">
        <f t="shared" si="1"/>
        <v>1</v>
      </c>
      <c r="F39" s="11">
        <v>0</v>
      </c>
      <c r="G39" s="11">
        <f t="shared" si="2"/>
        <v>-1</v>
      </c>
      <c r="H39" s="11">
        <f t="shared" si="3"/>
        <v>2.8</v>
      </c>
      <c r="I39" s="11">
        <f t="shared" si="4"/>
        <v>1.9500000000000002</v>
      </c>
      <c r="J39" s="11">
        <f t="shared" si="5"/>
        <v>0</v>
      </c>
      <c r="K39" s="11">
        <f t="shared" si="6"/>
        <v>-0.14999999999999991</v>
      </c>
    </row>
    <row r="40" spans="1:11" x14ac:dyDescent="0.35">
      <c r="A40" s="11"/>
      <c r="B40" s="11">
        <v>0.8</v>
      </c>
      <c r="C40" s="11">
        <v>0.6</v>
      </c>
      <c r="D40" s="11">
        <f t="shared" si="0"/>
        <v>3.5</v>
      </c>
      <c r="E40" s="11">
        <f t="shared" si="1"/>
        <v>1</v>
      </c>
      <c r="F40" s="11">
        <v>1</v>
      </c>
      <c r="G40" s="11">
        <f t="shared" si="2"/>
        <v>0</v>
      </c>
      <c r="H40" s="11">
        <f t="shared" si="3"/>
        <v>3.3</v>
      </c>
      <c r="I40" s="11">
        <f t="shared" si="4"/>
        <v>2.1</v>
      </c>
      <c r="J40" s="11">
        <f t="shared" si="5"/>
        <v>0.5</v>
      </c>
      <c r="K40" s="11">
        <f t="shared" si="6"/>
        <v>0</v>
      </c>
    </row>
    <row r="41" spans="1:11" x14ac:dyDescent="0.35">
      <c r="A41" s="11"/>
      <c r="B41" s="11">
        <v>1.1000000000000001</v>
      </c>
      <c r="C41" s="11">
        <v>1</v>
      </c>
      <c r="D41" s="11">
        <f t="shared" si="0"/>
        <v>5.18</v>
      </c>
      <c r="E41" s="11">
        <f t="shared" si="1"/>
        <v>1</v>
      </c>
      <c r="F41" s="11">
        <v>1</v>
      </c>
      <c r="G41" s="11">
        <f t="shared" si="2"/>
        <v>0</v>
      </c>
      <c r="H41" s="11">
        <f t="shared" si="3"/>
        <v>3.3</v>
      </c>
      <c r="I41" s="11">
        <f t="shared" si="4"/>
        <v>2.1</v>
      </c>
      <c r="J41" s="11">
        <f t="shared" si="5"/>
        <v>0.5</v>
      </c>
      <c r="K41" s="11">
        <f t="shared" si="6"/>
        <v>0</v>
      </c>
    </row>
    <row r="42" spans="1:11" x14ac:dyDescent="0.35">
      <c r="A42" s="11"/>
      <c r="B42" s="11">
        <v>1.2</v>
      </c>
      <c r="C42" s="11">
        <v>1</v>
      </c>
      <c r="D42" s="11">
        <f t="shared" si="0"/>
        <v>5.46</v>
      </c>
      <c r="E42" s="11">
        <f t="shared" si="1"/>
        <v>1</v>
      </c>
      <c r="F42" s="11">
        <v>1</v>
      </c>
      <c r="G42" s="11">
        <f t="shared" si="2"/>
        <v>0</v>
      </c>
      <c r="H42" s="11">
        <f t="shared" si="3"/>
        <v>3.3</v>
      </c>
      <c r="I42" s="11">
        <f t="shared" si="4"/>
        <v>2.1</v>
      </c>
      <c r="J42" s="11">
        <f t="shared" si="5"/>
        <v>0.5</v>
      </c>
      <c r="K42" s="11">
        <f t="shared" si="6"/>
        <v>0</v>
      </c>
    </row>
    <row r="43" spans="1:11" x14ac:dyDescent="0.35">
      <c r="A43" s="11"/>
      <c r="B43" s="11">
        <v>0.5</v>
      </c>
      <c r="C43" s="11">
        <v>1.5</v>
      </c>
      <c r="D43" s="11">
        <f t="shared" si="0"/>
        <v>4.5500000000000007</v>
      </c>
      <c r="E43" s="11">
        <f t="shared" si="1"/>
        <v>1</v>
      </c>
      <c r="F43" s="11">
        <v>0</v>
      </c>
      <c r="G43" s="11">
        <f t="shared" si="2"/>
        <v>-1</v>
      </c>
      <c r="H43" s="11">
        <f t="shared" si="3"/>
        <v>2.8</v>
      </c>
      <c r="I43" s="11">
        <f t="shared" si="4"/>
        <v>1.35</v>
      </c>
      <c r="J43" s="11">
        <f t="shared" si="5"/>
        <v>0</v>
      </c>
      <c r="K43" s="11">
        <f t="shared" si="6"/>
        <v>-0.75</v>
      </c>
    </row>
    <row r="44" spans="1:11" x14ac:dyDescent="0.35">
      <c r="A44" s="11">
        <v>5</v>
      </c>
      <c r="B44" s="11">
        <v>0.5</v>
      </c>
      <c r="C44" s="11">
        <v>0.3</v>
      </c>
      <c r="D44" s="11">
        <f t="shared" si="0"/>
        <v>2.0299999999999998</v>
      </c>
      <c r="E44" s="11">
        <f t="shared" si="1"/>
        <v>1</v>
      </c>
      <c r="F44" s="11">
        <v>0</v>
      </c>
      <c r="G44" s="11">
        <f t="shared" si="2"/>
        <v>-1</v>
      </c>
      <c r="H44" s="11">
        <f t="shared" si="3"/>
        <v>2.8</v>
      </c>
      <c r="I44" s="11">
        <f t="shared" si="4"/>
        <v>1.9500000000000002</v>
      </c>
      <c r="J44" s="11">
        <f t="shared" si="5"/>
        <v>0</v>
      </c>
      <c r="K44" s="11">
        <f t="shared" si="6"/>
        <v>-0.14999999999999991</v>
      </c>
    </row>
    <row r="45" spans="1:11" x14ac:dyDescent="0.35">
      <c r="A45" s="11"/>
      <c r="B45" s="11">
        <v>0.8</v>
      </c>
      <c r="C45" s="11">
        <v>0.6</v>
      </c>
      <c r="D45" s="11">
        <f t="shared" si="0"/>
        <v>3.5</v>
      </c>
      <c r="E45" s="11">
        <f t="shared" si="1"/>
        <v>1</v>
      </c>
      <c r="F45" s="11">
        <v>1</v>
      </c>
      <c r="G45" s="11">
        <f t="shared" si="2"/>
        <v>0</v>
      </c>
      <c r="H45" s="11">
        <f t="shared" si="3"/>
        <v>3.3</v>
      </c>
      <c r="I45" s="11">
        <f t="shared" si="4"/>
        <v>2.1</v>
      </c>
      <c r="J45" s="11">
        <f t="shared" si="5"/>
        <v>0.5</v>
      </c>
      <c r="K45" s="11">
        <f t="shared" si="6"/>
        <v>0</v>
      </c>
    </row>
    <row r="46" spans="1:11" x14ac:dyDescent="0.35">
      <c r="A46" s="11"/>
      <c r="B46" s="11">
        <v>1.1000000000000001</v>
      </c>
      <c r="C46" s="11">
        <v>1</v>
      </c>
      <c r="D46" s="11">
        <f t="shared" si="0"/>
        <v>5.18</v>
      </c>
      <c r="E46" s="11">
        <f t="shared" si="1"/>
        <v>1</v>
      </c>
      <c r="F46" s="11">
        <v>1</v>
      </c>
      <c r="G46" s="11">
        <f t="shared" si="2"/>
        <v>0</v>
      </c>
      <c r="H46" s="11">
        <f t="shared" si="3"/>
        <v>3.3</v>
      </c>
      <c r="I46" s="11">
        <f t="shared" si="4"/>
        <v>2.1</v>
      </c>
      <c r="J46" s="11">
        <f t="shared" si="5"/>
        <v>0.5</v>
      </c>
      <c r="K46" s="11">
        <f t="shared" si="6"/>
        <v>0</v>
      </c>
    </row>
    <row r="47" spans="1:11" x14ac:dyDescent="0.35">
      <c r="A47" s="11"/>
      <c r="B47" s="11">
        <v>1.2</v>
      </c>
      <c r="C47" s="11">
        <v>1</v>
      </c>
      <c r="D47" s="11">
        <f t="shared" si="0"/>
        <v>5.46</v>
      </c>
      <c r="E47" s="11">
        <f t="shared" si="1"/>
        <v>1</v>
      </c>
      <c r="F47" s="11">
        <v>1</v>
      </c>
      <c r="G47" s="11">
        <f t="shared" si="2"/>
        <v>0</v>
      </c>
      <c r="H47" s="11">
        <f t="shared" si="3"/>
        <v>3.3</v>
      </c>
      <c r="I47" s="11">
        <f t="shared" si="4"/>
        <v>2.1</v>
      </c>
      <c r="J47" s="11">
        <f t="shared" si="5"/>
        <v>0.5</v>
      </c>
      <c r="K47" s="11">
        <f t="shared" si="6"/>
        <v>0</v>
      </c>
    </row>
    <row r="48" spans="1:11" x14ac:dyDescent="0.35">
      <c r="A48" s="11"/>
      <c r="B48" s="11">
        <v>0.5</v>
      </c>
      <c r="C48" s="11">
        <v>1.5</v>
      </c>
      <c r="D48" s="11">
        <f t="shared" si="0"/>
        <v>4.5500000000000007</v>
      </c>
      <c r="E48" s="11">
        <f t="shared" si="1"/>
        <v>1</v>
      </c>
      <c r="F48" s="11">
        <v>0</v>
      </c>
      <c r="G48" s="11">
        <f t="shared" si="2"/>
        <v>-1</v>
      </c>
      <c r="H48" s="11">
        <f t="shared" si="3"/>
        <v>2.8</v>
      </c>
      <c r="I48" s="11">
        <f t="shared" si="4"/>
        <v>1.35</v>
      </c>
      <c r="J48" s="11">
        <f t="shared" si="5"/>
        <v>0</v>
      </c>
      <c r="K48" s="11">
        <f t="shared" si="6"/>
        <v>-0.75</v>
      </c>
    </row>
    <row r="49" spans="1:5" x14ac:dyDescent="0.35">
      <c r="A49" s="14" t="s">
        <v>36</v>
      </c>
      <c r="B49" s="14">
        <v>0.9</v>
      </c>
      <c r="C49" s="14">
        <v>0.3</v>
      </c>
      <c r="D49" s="14">
        <f>($B$18*B49)+($B$19*C49)</f>
        <v>3.15</v>
      </c>
      <c r="E49" s="14">
        <f t="shared" si="1"/>
        <v>1</v>
      </c>
    </row>
  </sheetData>
  <mergeCells count="16">
    <mergeCell ref="D18:F18"/>
    <mergeCell ref="D19:F19"/>
    <mergeCell ref="A7:B7"/>
    <mergeCell ref="C1:F1"/>
    <mergeCell ref="C2:F2"/>
    <mergeCell ref="C3:F3"/>
    <mergeCell ref="C4:F4"/>
    <mergeCell ref="C5:F5"/>
    <mergeCell ref="C6:F6"/>
    <mergeCell ref="C7:F7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Abdurohman</dc:creator>
  <cp:lastModifiedBy>adhityaprahma@outlook.com</cp:lastModifiedBy>
  <dcterms:created xsi:type="dcterms:W3CDTF">2026-04-07T07:17:09Z</dcterms:created>
  <dcterms:modified xsi:type="dcterms:W3CDTF">2026-04-07T07:52:30Z</dcterms:modified>
</cp:coreProperties>
</file>